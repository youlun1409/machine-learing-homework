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cmlab-24\Desktop\"/>
    </mc:Choice>
  </mc:AlternateContent>
  <xr:revisionPtr revIDLastSave="0" documentId="8_{8F0DBDD6-5843-4196-9F8D-6A02E6832C1D}" xr6:coauthVersionLast="47" xr6:coauthVersionMax="47" xr10:uidLastSave="{00000000-0000-0000-0000-000000000000}"/>
  <bookViews>
    <workbookView xWindow="-120" yWindow="-120" windowWidth="29040" windowHeight="15840" xr2:uid="{C81C64F6-9A43-4A14-912A-6275D48EAC96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5" i="1" l="1"/>
  <c r="D35" i="1"/>
  <c r="C35" i="1"/>
  <c r="E34" i="1"/>
  <c r="D34" i="1"/>
  <c r="C34" i="1"/>
  <c r="E33" i="1"/>
  <c r="D33" i="1"/>
  <c r="C33" i="1"/>
  <c r="E32" i="1"/>
  <c r="D32" i="1"/>
  <c r="C32" i="1"/>
  <c r="F33" i="1" s="1"/>
  <c r="E30" i="1"/>
  <c r="D30" i="1"/>
  <c r="C30" i="1"/>
  <c r="F28" i="1" s="1"/>
  <c r="E29" i="1"/>
  <c r="D29" i="1"/>
  <c r="C29" i="1"/>
  <c r="E28" i="1"/>
  <c r="D28" i="1"/>
  <c r="C28" i="1"/>
  <c r="E27" i="1"/>
  <c r="D27" i="1"/>
  <c r="C27" i="1"/>
  <c r="F16" i="1"/>
  <c r="D18" i="1"/>
  <c r="C16" i="1"/>
  <c r="D16" i="1"/>
  <c r="E16" i="1"/>
  <c r="C17" i="1"/>
  <c r="D17" i="1"/>
  <c r="E17" i="1"/>
  <c r="C18" i="1"/>
  <c r="E18" i="1"/>
  <c r="D15" i="1"/>
  <c r="E15" i="1"/>
  <c r="C15" i="1"/>
  <c r="J28" i="1"/>
  <c r="I28" i="1"/>
  <c r="H28" i="1"/>
  <c r="K28" i="1" s="1"/>
  <c r="I11" i="1"/>
  <c r="J11" i="1"/>
  <c r="H11" i="1"/>
  <c r="K11" i="1" s="1"/>
  <c r="C13" i="1"/>
  <c r="C11" i="1"/>
  <c r="D11" i="1"/>
  <c r="E11" i="1"/>
  <c r="C12" i="1"/>
  <c r="D12" i="1"/>
  <c r="E12" i="1"/>
  <c r="D13" i="1"/>
  <c r="E13" i="1"/>
  <c r="D10" i="1"/>
  <c r="E10" i="1"/>
  <c r="C10" i="1"/>
  <c r="F11" i="1" l="1"/>
</calcChain>
</file>

<file path=xl/sharedStrings.xml><?xml version="1.0" encoding="utf-8"?>
<sst xmlns="http://schemas.openxmlformats.org/spreadsheetml/2006/main" count="48" uniqueCount="20">
  <si>
    <t>target</t>
    <phoneticPr fontId="2" type="noConversion"/>
  </si>
  <si>
    <t>Data1</t>
    <phoneticPr fontId="2" type="noConversion"/>
  </si>
  <si>
    <t>Data2</t>
  </si>
  <si>
    <t>Data3</t>
  </si>
  <si>
    <t>Data4</t>
  </si>
  <si>
    <t>Dog</t>
    <phoneticPr fontId="2" type="noConversion"/>
  </si>
  <si>
    <t>Cat</t>
    <phoneticPr fontId="2" type="noConversion"/>
  </si>
  <si>
    <t>probability</t>
    <phoneticPr fontId="2" type="noConversion"/>
  </si>
  <si>
    <t>Other</t>
    <phoneticPr fontId="2" type="noConversion"/>
  </si>
  <si>
    <t>Answer</t>
    <phoneticPr fontId="2" type="noConversion"/>
  </si>
  <si>
    <t>cat</t>
    <phoneticPr fontId="2" type="noConversion"/>
  </si>
  <si>
    <t>other</t>
    <phoneticPr fontId="2" type="noConversion"/>
  </si>
  <si>
    <t>Dog's entropy</t>
    <phoneticPr fontId="2" type="noConversion"/>
  </si>
  <si>
    <t>Cat's entropy</t>
    <phoneticPr fontId="2" type="noConversion"/>
  </si>
  <si>
    <t>Other's entropy</t>
    <phoneticPr fontId="2" type="noConversion"/>
  </si>
  <si>
    <t>total entropy</t>
    <phoneticPr fontId="2" type="noConversion"/>
  </si>
  <si>
    <t>MSE</t>
    <phoneticPr fontId="2" type="noConversion"/>
  </si>
  <si>
    <t>MAE</t>
    <phoneticPr fontId="2" type="noConversion"/>
  </si>
  <si>
    <t>model1</t>
    <phoneticPr fontId="2" type="noConversion"/>
  </si>
  <si>
    <t>model2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</si>
</sst>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4" x14ac:knownFonts="1">
    <font>
      <sz val="12"/>
      <color theme="1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FF0000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FF0000"/>
      </top>
      <bottom/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/>
      <top/>
      <bottom style="thin">
        <color indexed="64"/>
      </bottom>
      <diagonal/>
    </border>
    <border>
      <left style="thin">
        <color rgb="FFFF0000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applyBorder="1">
      <alignment vertical="center"/>
    </xf>
    <xf numFmtId="0" fontId="0" fillId="0" borderId="5" xfId="0" applyBorder="1">
      <alignment vertical="center"/>
    </xf>
    <xf numFmtId="0" fontId="0" fillId="0" borderId="4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176" fontId="0" fillId="0" borderId="11" xfId="0" applyNumberFormat="1" applyBorder="1">
      <alignment vertical="center"/>
    </xf>
    <xf numFmtId="176" fontId="1" fillId="0" borderId="12" xfId="0" applyNumberFormat="1" applyFont="1" applyBorder="1">
      <alignment vertical="center"/>
    </xf>
    <xf numFmtId="0" fontId="0" fillId="0" borderId="13" xfId="0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1" fillId="0" borderId="10" xfId="0" applyFont="1" applyBorder="1">
      <alignment vertical="center"/>
    </xf>
    <xf numFmtId="0" fontId="0" fillId="0" borderId="17" xfId="0" applyBorder="1">
      <alignment vertical="center"/>
    </xf>
    <xf numFmtId="0" fontId="1" fillId="0" borderId="0" xfId="0" applyFont="1">
      <alignment vertical="center"/>
    </xf>
    <xf numFmtId="0" fontId="1" fillId="0" borderId="21" xfId="0" applyFont="1" applyBorder="1">
      <alignment vertical="center"/>
    </xf>
    <xf numFmtId="0" fontId="1" fillId="0" borderId="18" xfId="0" applyFont="1" applyBorder="1">
      <alignment vertical="center"/>
    </xf>
    <xf numFmtId="0" fontId="0" fillId="0" borderId="0" xfId="0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45AFC-F321-48D5-9D78-C2F18AC55216}">
  <dimension ref="A2:L36"/>
  <sheetViews>
    <sheetView tabSelected="1" zoomScale="115" zoomScaleNormal="115" workbookViewId="0">
      <selection activeCell="I19" sqref="I19"/>
    </sheetView>
  </sheetViews>
  <sheetFormatPr defaultRowHeight="16.5" x14ac:dyDescent="0.25"/>
  <cols>
    <col min="8" max="8" width="11.75" customWidth="1"/>
    <col min="9" max="9" width="10.625" customWidth="1"/>
    <col min="10" max="10" width="12.375" customWidth="1"/>
    <col min="11" max="11" width="11.375" customWidth="1"/>
  </cols>
  <sheetData>
    <row r="2" spans="1:11" ht="17.25" thickBot="1" x14ac:dyDescent="0.3"/>
    <row r="3" spans="1:11" x14ac:dyDescent="0.25">
      <c r="B3" s="26" t="s">
        <v>18</v>
      </c>
      <c r="C3" s="27"/>
      <c r="D3" s="27" t="s">
        <v>7</v>
      </c>
      <c r="E3" s="27"/>
      <c r="F3" s="27"/>
      <c r="G3" s="27" t="s">
        <v>9</v>
      </c>
      <c r="H3" s="27"/>
      <c r="I3" s="30"/>
    </row>
    <row r="4" spans="1:11" x14ac:dyDescent="0.25">
      <c r="B4" s="28" t="s">
        <v>0</v>
      </c>
      <c r="C4" s="29"/>
      <c r="D4" s="2" t="s">
        <v>5</v>
      </c>
      <c r="E4" s="2" t="s">
        <v>6</v>
      </c>
      <c r="F4" s="2" t="s">
        <v>8</v>
      </c>
      <c r="G4" s="2" t="s">
        <v>5</v>
      </c>
      <c r="H4" s="2" t="s">
        <v>10</v>
      </c>
      <c r="I4" s="3" t="s">
        <v>11</v>
      </c>
    </row>
    <row r="5" spans="1:11" x14ac:dyDescent="0.25">
      <c r="B5" s="4" t="s">
        <v>1</v>
      </c>
      <c r="C5" s="2" t="s">
        <v>5</v>
      </c>
      <c r="D5" s="2">
        <v>0.4</v>
      </c>
      <c r="E5" s="2">
        <v>0.3</v>
      </c>
      <c r="F5" s="2">
        <v>0.3</v>
      </c>
      <c r="G5" s="2">
        <v>1</v>
      </c>
      <c r="H5" s="2">
        <v>0</v>
      </c>
      <c r="I5" s="3">
        <v>0</v>
      </c>
    </row>
    <row r="6" spans="1:11" x14ac:dyDescent="0.25">
      <c r="B6" s="4" t="s">
        <v>2</v>
      </c>
      <c r="C6" s="2" t="s">
        <v>6</v>
      </c>
      <c r="D6" s="2">
        <v>0.3</v>
      </c>
      <c r="E6" s="2">
        <v>0.4</v>
      </c>
      <c r="F6" s="2">
        <v>0.3</v>
      </c>
      <c r="G6" s="2">
        <v>0</v>
      </c>
      <c r="H6" s="2">
        <v>1</v>
      </c>
      <c r="I6" s="3">
        <v>0</v>
      </c>
    </row>
    <row r="7" spans="1:11" x14ac:dyDescent="0.25">
      <c r="B7" s="4" t="s">
        <v>3</v>
      </c>
      <c r="C7" s="2" t="s">
        <v>5</v>
      </c>
      <c r="D7" s="2">
        <v>0.5</v>
      </c>
      <c r="E7" s="2">
        <v>0.2</v>
      </c>
      <c r="F7" s="2">
        <v>0.3</v>
      </c>
      <c r="G7" s="2">
        <v>1</v>
      </c>
      <c r="H7" s="2">
        <v>0</v>
      </c>
      <c r="I7" s="3">
        <v>0</v>
      </c>
    </row>
    <row r="8" spans="1:11" ht="17.25" thickBot="1" x14ac:dyDescent="0.3">
      <c r="B8" s="5" t="s">
        <v>4</v>
      </c>
      <c r="C8" s="6" t="s">
        <v>6</v>
      </c>
      <c r="D8" s="6">
        <v>0.6</v>
      </c>
      <c r="E8" s="6">
        <v>0.2</v>
      </c>
      <c r="F8" s="6">
        <v>0.2</v>
      </c>
      <c r="G8" s="6">
        <v>0</v>
      </c>
      <c r="H8" s="6">
        <v>0</v>
      </c>
      <c r="I8" s="7">
        <v>1</v>
      </c>
    </row>
    <row r="9" spans="1:11" x14ac:dyDescent="0.25">
      <c r="B9" s="17"/>
    </row>
    <row r="10" spans="1:11" x14ac:dyDescent="0.25">
      <c r="A10" s="12"/>
      <c r="B10" s="21" t="s">
        <v>16</v>
      </c>
      <c r="C10" s="16">
        <f>(D5-G5)^2</f>
        <v>0.36</v>
      </c>
      <c r="D10">
        <f t="shared" ref="D10:E10" si="0">(E5-H5)^2</f>
        <v>0.09</v>
      </c>
      <c r="E10">
        <f t="shared" si="0"/>
        <v>0.09</v>
      </c>
      <c r="H10" t="s">
        <v>12</v>
      </c>
      <c r="I10" t="s">
        <v>13</v>
      </c>
      <c r="J10" t="s">
        <v>14</v>
      </c>
      <c r="K10" s="15" t="s">
        <v>15</v>
      </c>
    </row>
    <row r="11" spans="1:11" x14ac:dyDescent="0.25">
      <c r="A11" s="12"/>
      <c r="B11" s="22"/>
      <c r="C11" s="16">
        <f t="shared" ref="C11:C12" si="1">(D6-G6)^2</f>
        <v>0.09</v>
      </c>
      <c r="D11">
        <f t="shared" ref="D11:D13" si="2">(E6-H6)^2</f>
        <v>0.36</v>
      </c>
      <c r="E11">
        <f t="shared" ref="E11:E13" si="3">(F6-I6)^2</f>
        <v>0.09</v>
      </c>
      <c r="F11" s="18">
        <f>(C10+D10+E10+E11+D11+C11+C12+D12+E12+E13+D13+C13)/12</f>
        <v>0.20833333333333334</v>
      </c>
      <c r="G11" s="16"/>
      <c r="H11" s="1">
        <f>-(G5*IMLOG2(D5)+G6*IMLOG2(D6)+G7*IMLOG2(D7)+G8*IMLOG2(D8))</f>
        <v>2.32192809488736</v>
      </c>
      <c r="I11" s="1">
        <f>-(H5*IMLOG2(E5)+H6*IMLOG2(E6)+H7*IMLOG2(E7)+H8*IMLOG2(E8))</f>
        <v>1.32192809488736</v>
      </c>
      <c r="J11" s="9">
        <f>-(I5*IMLOG2(F5)+I6*IMLOG2(F6)+I7*IMLOG2(F7)+I8*IMLOG2(F8))</f>
        <v>2.32192809488736</v>
      </c>
      <c r="K11" s="10">
        <f>H11+I11+J11</f>
        <v>5.9657842846620799</v>
      </c>
    </row>
    <row r="12" spans="1:11" x14ac:dyDescent="0.25">
      <c r="A12" s="12"/>
      <c r="B12" s="22"/>
      <c r="C12" s="16">
        <f t="shared" si="1"/>
        <v>0.25</v>
      </c>
      <c r="D12">
        <f t="shared" si="2"/>
        <v>4.0000000000000008E-2</v>
      </c>
      <c r="E12">
        <f t="shared" si="3"/>
        <v>0.09</v>
      </c>
    </row>
    <row r="13" spans="1:11" x14ac:dyDescent="0.25">
      <c r="A13" s="12"/>
      <c r="B13" s="22"/>
      <c r="C13" s="16">
        <f>(D8-G8)^2</f>
        <v>0.36</v>
      </c>
      <c r="D13">
        <f t="shared" si="2"/>
        <v>4.0000000000000008E-2</v>
      </c>
      <c r="E13">
        <f t="shared" si="3"/>
        <v>0.64000000000000012</v>
      </c>
    </row>
    <row r="14" spans="1:11" x14ac:dyDescent="0.25">
      <c r="B14" s="8"/>
    </row>
    <row r="15" spans="1:11" x14ac:dyDescent="0.25">
      <c r="A15" s="12"/>
      <c r="B15" s="23" t="s">
        <v>17</v>
      </c>
      <c r="C15">
        <f>ABS(D5-G5)</f>
        <v>0.6</v>
      </c>
      <c r="D15">
        <f t="shared" ref="D15:E15" si="4">ABS(E5-H5)</f>
        <v>0.3</v>
      </c>
      <c r="E15">
        <f t="shared" si="4"/>
        <v>0.3</v>
      </c>
      <c r="J15" s="11"/>
    </row>
    <row r="16" spans="1:11" x14ac:dyDescent="0.25">
      <c r="A16" s="12"/>
      <c r="B16" s="24"/>
      <c r="C16">
        <f t="shared" ref="C16:C18" si="5">ABS(D6-G6)</f>
        <v>0.3</v>
      </c>
      <c r="D16">
        <f t="shared" ref="D16:D17" si="6">ABS(E6-H6)</f>
        <v>0.6</v>
      </c>
      <c r="E16">
        <f t="shared" ref="E16:E18" si="7">ABS(F6-I6)</f>
        <v>0.3</v>
      </c>
      <c r="F16" s="19">
        <f>(C15+D15+E15+E16+D16+C16+C17+D17+E17+E18+D18+C18)/12</f>
        <v>0.41666666666666669</v>
      </c>
      <c r="G16" s="16"/>
      <c r="J16" s="2"/>
    </row>
    <row r="17" spans="1:12" x14ac:dyDescent="0.25">
      <c r="A17" s="12"/>
      <c r="B17" s="24"/>
      <c r="C17">
        <f t="shared" si="5"/>
        <v>0.5</v>
      </c>
      <c r="D17">
        <f t="shared" si="6"/>
        <v>0.2</v>
      </c>
      <c r="E17">
        <f t="shared" si="7"/>
        <v>0.3</v>
      </c>
      <c r="F17" s="8"/>
    </row>
    <row r="18" spans="1:12" x14ac:dyDescent="0.25">
      <c r="A18" s="12"/>
      <c r="B18" s="25"/>
      <c r="C18">
        <f t="shared" si="5"/>
        <v>0.6</v>
      </c>
      <c r="D18">
        <f>ABS(E8-H8)</f>
        <v>0.2</v>
      </c>
      <c r="E18">
        <f t="shared" si="7"/>
        <v>0.8</v>
      </c>
    </row>
    <row r="19" spans="1:12" x14ac:dyDescent="0.25">
      <c r="B19" s="8"/>
    </row>
    <row r="20" spans="1:12" x14ac:dyDescent="0.25">
      <c r="B20" s="20" t="s">
        <v>19</v>
      </c>
      <c r="C20" s="20"/>
      <c r="D20" s="20" t="s">
        <v>7</v>
      </c>
      <c r="E20" s="20"/>
      <c r="F20" s="20"/>
      <c r="G20" s="20" t="s">
        <v>9</v>
      </c>
      <c r="H20" s="20"/>
      <c r="I20" s="20"/>
    </row>
    <row r="21" spans="1:12" x14ac:dyDescent="0.25">
      <c r="B21" s="20" t="s">
        <v>0</v>
      </c>
      <c r="C21" s="20"/>
      <c r="D21" t="s">
        <v>5</v>
      </c>
      <c r="E21" t="s">
        <v>6</v>
      </c>
      <c r="F21" t="s">
        <v>8</v>
      </c>
      <c r="G21" t="s">
        <v>5</v>
      </c>
      <c r="H21" t="s">
        <v>10</v>
      </c>
      <c r="I21" t="s">
        <v>11</v>
      </c>
    </row>
    <row r="22" spans="1:12" x14ac:dyDescent="0.25">
      <c r="B22" t="s">
        <v>1</v>
      </c>
      <c r="C22" t="s">
        <v>5</v>
      </c>
      <c r="D22">
        <v>0.8</v>
      </c>
      <c r="E22">
        <v>0.1</v>
      </c>
      <c r="F22">
        <v>0.1</v>
      </c>
      <c r="G22">
        <v>1</v>
      </c>
      <c r="H22">
        <v>0</v>
      </c>
      <c r="I22">
        <v>0</v>
      </c>
    </row>
    <row r="23" spans="1:12" x14ac:dyDescent="0.25">
      <c r="B23" t="s">
        <v>2</v>
      </c>
      <c r="C23" t="s">
        <v>6</v>
      </c>
      <c r="D23">
        <v>0.1</v>
      </c>
      <c r="E23">
        <v>0.7</v>
      </c>
      <c r="F23">
        <v>0.2</v>
      </c>
      <c r="G23">
        <v>0</v>
      </c>
      <c r="H23">
        <v>1</v>
      </c>
      <c r="I23">
        <v>0</v>
      </c>
    </row>
    <row r="24" spans="1:12" x14ac:dyDescent="0.25">
      <c r="B24" t="s">
        <v>3</v>
      </c>
      <c r="C24" t="s">
        <v>5</v>
      </c>
      <c r="D24">
        <v>0.7</v>
      </c>
      <c r="E24">
        <v>0.1</v>
      </c>
      <c r="F24">
        <v>0.2</v>
      </c>
      <c r="G24">
        <v>1</v>
      </c>
      <c r="H24">
        <v>0</v>
      </c>
      <c r="I24">
        <v>0</v>
      </c>
    </row>
    <row r="25" spans="1:12" x14ac:dyDescent="0.25">
      <c r="B25" t="s">
        <v>4</v>
      </c>
      <c r="C25" t="s">
        <v>6</v>
      </c>
      <c r="D25">
        <v>0.4</v>
      </c>
      <c r="E25">
        <v>0.3</v>
      </c>
      <c r="F25">
        <v>0.3</v>
      </c>
      <c r="G25">
        <v>0</v>
      </c>
      <c r="H25">
        <v>0</v>
      </c>
      <c r="I25">
        <v>1</v>
      </c>
    </row>
    <row r="26" spans="1:12" x14ac:dyDescent="0.25">
      <c r="D26" s="1"/>
      <c r="E26" s="1"/>
      <c r="F26" s="1"/>
      <c r="G26" s="1"/>
    </row>
    <row r="27" spans="1:12" x14ac:dyDescent="0.25">
      <c r="A27" s="12"/>
      <c r="B27" s="21" t="s">
        <v>16</v>
      </c>
      <c r="C27" s="16">
        <f>(D22-G22)^2</f>
        <v>3.999999999999998E-2</v>
      </c>
      <c r="D27">
        <f t="shared" ref="D27:D30" si="8">(E22-H22)^2</f>
        <v>1.0000000000000002E-2</v>
      </c>
      <c r="E27">
        <f t="shared" ref="E27:E30" si="9">(F22-I22)^2</f>
        <v>1.0000000000000002E-2</v>
      </c>
      <c r="H27" t="s">
        <v>12</v>
      </c>
      <c r="I27" t="s">
        <v>13</v>
      </c>
      <c r="J27" t="s">
        <v>14</v>
      </c>
      <c r="K27" s="15" t="s">
        <v>15</v>
      </c>
      <c r="L27" s="2"/>
    </row>
    <row r="28" spans="1:12" x14ac:dyDescent="0.25">
      <c r="A28" s="12"/>
      <c r="B28" s="22"/>
      <c r="C28" s="16">
        <f t="shared" ref="C28:C29" si="10">(D23-G23)^2</f>
        <v>1.0000000000000002E-2</v>
      </c>
      <c r="D28">
        <f t="shared" si="8"/>
        <v>9.0000000000000024E-2</v>
      </c>
      <c r="E28">
        <f t="shared" si="9"/>
        <v>4.0000000000000008E-2</v>
      </c>
      <c r="F28" s="18">
        <f>(C27+D27+E27+E28+D28+C28+C29+D29+E29+E30+D30+C30)/12</f>
        <v>9.0000000000000011E-2</v>
      </c>
      <c r="G28" s="16"/>
      <c r="H28" s="1">
        <f>-(G22*IMLOG2(D22)+G23*IMLOG2(D23)+G24*IMLOG2(D24)+G25*IMLOG2(D25))</f>
        <v>0.83650126771711997</v>
      </c>
      <c r="I28" s="1">
        <f>-(H22*IMLOG2(E22)+H23*IMLOG2(E23)+H24*IMLOG2(E24)+H25*IMLOG2(E25))</f>
        <v>0.51457317282975801</v>
      </c>
      <c r="J28" s="9">
        <f>-(I22*IMLOG2(F22)+I23*IMLOG2(F23)+I24*IMLOG2(F24)+I25*IMLOG2(F25))</f>
        <v>1.7369655941662101</v>
      </c>
      <c r="K28" s="10">
        <f>H28+I28+J28</f>
        <v>3.0880400347130879</v>
      </c>
      <c r="L28" s="13"/>
    </row>
    <row r="29" spans="1:12" x14ac:dyDescent="0.25">
      <c r="A29" s="12"/>
      <c r="B29" s="22"/>
      <c r="C29" s="16">
        <f t="shared" si="10"/>
        <v>9.0000000000000024E-2</v>
      </c>
      <c r="D29">
        <f t="shared" si="8"/>
        <v>1.0000000000000002E-2</v>
      </c>
      <c r="E29">
        <f t="shared" si="9"/>
        <v>4.0000000000000008E-2</v>
      </c>
      <c r="J29" s="2"/>
      <c r="K29" s="14"/>
    </row>
    <row r="30" spans="1:12" x14ac:dyDescent="0.25">
      <c r="A30" s="12"/>
      <c r="B30" s="22"/>
      <c r="C30" s="16">
        <f>(D25-G25)^2</f>
        <v>0.16000000000000003</v>
      </c>
      <c r="D30">
        <f t="shared" si="8"/>
        <v>0.09</v>
      </c>
      <c r="E30">
        <f t="shared" si="9"/>
        <v>0.48999999999999994</v>
      </c>
    </row>
    <row r="31" spans="1:12" x14ac:dyDescent="0.25">
      <c r="B31" s="8"/>
    </row>
    <row r="32" spans="1:12" x14ac:dyDescent="0.25">
      <c r="A32" s="12"/>
      <c r="B32" s="23" t="s">
        <v>17</v>
      </c>
      <c r="C32">
        <f>ABS(D22-G22)</f>
        <v>0.19999999999999996</v>
      </c>
      <c r="D32">
        <f t="shared" ref="D32:D34" si="11">ABS(E22-H22)</f>
        <v>0.1</v>
      </c>
      <c r="E32">
        <f t="shared" ref="E32:E35" si="12">ABS(F22-I22)</f>
        <v>0.1</v>
      </c>
    </row>
    <row r="33" spans="1:7" x14ac:dyDescent="0.25">
      <c r="A33" s="12"/>
      <c r="B33" s="24"/>
      <c r="C33">
        <f t="shared" ref="C33:C35" si="13">ABS(D23-G23)</f>
        <v>0.1</v>
      </c>
      <c r="D33">
        <f t="shared" si="11"/>
        <v>0.30000000000000004</v>
      </c>
      <c r="E33">
        <f t="shared" si="12"/>
        <v>0.2</v>
      </c>
      <c r="F33" s="19">
        <f>(C32+D32+E32+E33+D33+C33+C34+D34+E34+E35+D35+C35)/12</f>
        <v>0.24999999999999997</v>
      </c>
      <c r="G33" s="16"/>
    </row>
    <row r="34" spans="1:7" x14ac:dyDescent="0.25">
      <c r="A34" s="12"/>
      <c r="B34" s="24"/>
      <c r="C34">
        <f t="shared" si="13"/>
        <v>0.30000000000000004</v>
      </c>
      <c r="D34">
        <f t="shared" si="11"/>
        <v>0.1</v>
      </c>
      <c r="E34">
        <f t="shared" si="12"/>
        <v>0.2</v>
      </c>
      <c r="F34" s="8"/>
    </row>
    <row r="35" spans="1:7" x14ac:dyDescent="0.25">
      <c r="A35" s="12"/>
      <c r="B35" s="25"/>
      <c r="C35">
        <f t="shared" si="13"/>
        <v>0.4</v>
      </c>
      <c r="D35">
        <f>ABS(E25-H25)</f>
        <v>0.3</v>
      </c>
      <c r="E35">
        <f t="shared" si="12"/>
        <v>0.7</v>
      </c>
    </row>
    <row r="36" spans="1:7" x14ac:dyDescent="0.25">
      <c r="B36" s="8"/>
    </row>
  </sheetData>
  <mergeCells count="12">
    <mergeCell ref="B3:C3"/>
    <mergeCell ref="B4:C4"/>
    <mergeCell ref="D3:F3"/>
    <mergeCell ref="G3:I3"/>
    <mergeCell ref="B20:C20"/>
    <mergeCell ref="D20:F20"/>
    <mergeCell ref="G20:I20"/>
    <mergeCell ref="B21:C21"/>
    <mergeCell ref="B10:B13"/>
    <mergeCell ref="B27:B30"/>
    <mergeCell ref="B15:B18"/>
    <mergeCell ref="B32:B35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smcmlab-24</dc:creator>
  <cp:lastModifiedBy>許 祐綸</cp:lastModifiedBy>
  <dcterms:created xsi:type="dcterms:W3CDTF">2023-06-05T06:33:39Z</dcterms:created>
  <dcterms:modified xsi:type="dcterms:W3CDTF">2023-06-05T12:56:06Z</dcterms:modified>
</cp:coreProperties>
</file>